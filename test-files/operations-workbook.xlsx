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23fccc2f04a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atch" sheetId="1" r:id="Rdf5d2f8421274c51"/>
    <x:sheet xmlns:r="http://schemas.openxmlformats.org/officeDocument/2006/relationships" name="Inventory" sheetId="2" r:id="R863b21c6aec944a3"/>
    <x:sheet xmlns:r="http://schemas.openxmlformats.org/officeDocument/2006/relationships" name="Summary" sheetId="3" r:id="R117461ba7832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6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i/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6F2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4eb1538a1465b" /><Relationship Type="http://schemas.openxmlformats.org/officeDocument/2006/relationships/theme" Target="/xl/theme/theme1.xml" Id="R43922f44149a4566" /><Relationship Type="http://schemas.openxmlformats.org/officeDocument/2006/relationships/sharedStrings" Target="/xl/sharedStrings.xml" Id="Rd3ad1f5e67a24f29" /><Relationship Type="http://schemas.openxmlformats.org/officeDocument/2006/relationships/worksheet" Target="/xl/worksheets/sheet1.xml" Id="Rdf5d2f8421274c51" /><Relationship Type="http://schemas.openxmlformats.org/officeDocument/2006/relationships/worksheet" Target="/xl/worksheets/sheet2.xml" Id="R863b21c6aec944a3" /><Relationship Type="http://schemas.openxmlformats.org/officeDocument/2006/relationships/worksheet" Target="/xl/worksheets/sheet3.xml" Id="R117461ba78324b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4917dd6cc54e6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df3f0935194640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Trips and on time deliveries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Trips</c:v>
          </c:tx>
          <c:cat>
            <c:strRef>
              <c:f>'Dispatch'!$A$4:$A$9</c:f>
              <c:strCache>
                <c:ptCount val="0"/>
              </c:strCache>
            </c:strRef>
          </c:cat>
          <c:val>
            <c:numRef>
              <c:f>'Dispatch'!$B$4:$B$9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On time</c:v>
          </c:tx>
          <c:cat>
            <c:strRef>
              <c:f>'Dispatch'!$A$4:$A$9</c:f>
              <c:strCache>
                <c:ptCount val="0"/>
              </c:strCache>
            </c:strRef>
          </c:cat>
          <c:val>
            <c:numRef>
              <c:f>'Dispatch'!$C$4:$C$9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4917dd6cc54e6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14</xdr:row>
      <xdr:rowOff>0</xdr:rowOff>
    </xdr:from>
    <xdr:ext cx="4476750" cy="2952750"/>
    <xdr:pic>
      <xdr:nvPicPr>
        <xdr:cNvPr id="1" name="cd4677e9-af07-4a7c-bacb-d5a26a4f41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3f0935194640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dd80dcce66c40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9751705141e4f6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4" t="str">
        <x:v>Dispatch operations September 2026</x:v>
      </x:c>
      <x:c r="B1" s="4"/>
      <x:c r="C1" s="4"/>
      <x:c r="D1" s="4"/>
      <x:c r="E1" s="4"/>
      <x:c r="F1" s="4"/>
    </x:row>
    <x:row r="2" ht="23" customHeight="1">
      <x:c r="A2" s="2"/>
      <x:c r="B2" s="2"/>
      <x:c r="C2" s="2"/>
      <x:c r="D2" s="2"/>
      <x:c r="E2" s="2"/>
      <x:c r="F2" s="2"/>
    </x:row>
    <x:row r="3" ht="23" customHeight="1">
      <x:c r="A3" s="12" t="str">
        <x:v>Route</x:v>
      </x:c>
      <x:c r="B3" s="12" t="str">
        <x:v>Trips</x:v>
      </x:c>
      <x:c r="C3" s="12" t="str">
        <x:v>On time</x:v>
      </x:c>
      <x:c r="D3" s="12" t="str">
        <x:v>Late</x:v>
      </x:c>
      <x:c r="E3" s="12" t="str">
        <x:v>On time rate</x:v>
      </x:c>
      <x:c r="F3" s="12" t="str">
        <x:v>Capacity</x:v>
      </x:c>
    </x:row>
    <x:row r="4" ht="23" customHeight="1">
      <x:c r="A4" s="9" t="str">
        <x:v>Marina</x:v>
      </x:c>
      <x:c r="B4" s="9" t="n">
        <x:v>40</x:v>
      </x:c>
      <x:c r="C4" s="9" t="n">
        <x:v>38</x:v>
      </x:c>
      <x:c r="D4" s="9" t="n">
        <x:f>B4-C4</x:f>
        <x:v>2</x:v>
      </x:c>
      <x:c r="E4" s="10" t="n">
        <x:f>C4/B4</x:f>
        <x:v>0.95</x:v>
      </x:c>
      <x:c r="F4" s="9" t="n">
        <x:v>50</x:v>
      </x:c>
    </x:row>
    <x:row r="5" ht="23" customHeight="1">
      <x:c r="A5" s="9" t="str">
        <x:v>Ikeja</x:v>
      </x:c>
      <x:c r="B5" s="9" t="n">
        <x:v>35</x:v>
      </x:c>
      <x:c r="C5" s="9" t="n">
        <x:v>32</x:v>
      </x:c>
      <x:c r="D5" s="9" t="n">
        <x:f>B5-C5</x:f>
        <x:v>3</x:v>
      </x:c>
      <x:c r="E5" s="10" t="n">
        <x:f>C5/B5</x:f>
        <x:v>0.9142857142857143</x:v>
      </x:c>
      <x:c r="F5" s="9" t="n">
        <x:v>45</x:v>
      </x:c>
    </x:row>
    <x:row r="6" ht="23" customHeight="1">
      <x:c r="A6" s="9" t="str">
        <x:v>Lekki</x:v>
      </x:c>
      <x:c r="B6" s="9" t="n">
        <x:v>30</x:v>
      </x:c>
      <x:c r="C6" s="9" t="n">
        <x:v>29</x:v>
      </x:c>
      <x:c r="D6" s="9" t="n">
        <x:f>B6-C6</x:f>
        <x:v>1</x:v>
      </x:c>
      <x:c r="E6" s="10" t="n">
        <x:f>C6/B6</x:f>
        <x:v>0.9666666666666667</x:v>
      </x:c>
      <x:c r="F6" s="9" t="n">
        <x:v>40</x:v>
      </x:c>
    </x:row>
    <x:row r="7" ht="23" customHeight="1">
      <x:c r="A7" s="9" t="str">
        <x:v>Yaba</x:v>
      </x:c>
      <x:c r="B7" s="9" t="n">
        <x:v>28</x:v>
      </x:c>
      <x:c r="C7" s="9" t="n">
        <x:v>26</x:v>
      </x:c>
      <x:c r="D7" s="9" t="n">
        <x:f>B7-C7</x:f>
        <x:v>2</x:v>
      </x:c>
      <x:c r="E7" s="10" t="n">
        <x:f>C7/B7</x:f>
        <x:v>0.9285714285714286</x:v>
      </x:c>
      <x:c r="F7" s="9" t="n">
        <x:v>35</x:v>
      </x:c>
    </x:row>
    <x:row r="8" ht="23" customHeight="1">
      <x:c r="A8" s="9" t="str">
        <x:v>Apapa</x:v>
      </x:c>
      <x:c r="B8" s="9" t="n">
        <x:v>32</x:v>
      </x:c>
      <x:c r="C8" s="9" t="n">
        <x:v>30</x:v>
      </x:c>
      <x:c r="D8" s="9" t="n">
        <x:f>B8-C8</x:f>
        <x:v>2</x:v>
      </x:c>
      <x:c r="E8" s="10" t="n">
        <x:f>C8/B8</x:f>
        <x:v>0.9375</x:v>
      </x:c>
      <x:c r="F8" s="9" t="n">
        <x:v>40</x:v>
      </x:c>
    </x:row>
    <x:row r="9" ht="23" customHeight="1">
      <x:c r="A9" s="9" t="str">
        <x:v>Surulere</x:v>
      </x:c>
      <x:c r="B9" s="9" t="n">
        <x:v>25</x:v>
      </x:c>
      <x:c r="C9" s="9" t="n">
        <x:v>24</x:v>
      </x:c>
      <x:c r="D9" s="9" t="n">
        <x:f>B9-C9</x:f>
        <x:v>1</x:v>
      </x:c>
      <x:c r="E9" s="10" t="n">
        <x:f>C9/B9</x:f>
        <x:v>0.96</x:v>
      </x:c>
      <x:c r="F9" s="9" t="n">
        <x:v>30</x:v>
      </x:c>
    </x:row>
    <x:row r="10" ht="23" customHeight="1">
      <x:c r="A10" s="2"/>
      <x:c r="B10" s="2"/>
      <x:c r="C10" s="2"/>
      <x:c r="D10" s="2"/>
      <x:c r="E10" s="2"/>
      <x:c r="F10" s="2"/>
    </x:row>
    <x:row r="11" ht="23" customHeight="1">
      <x:c r="A11" s="2" t="str">
        <x:v>Total trips</x:v>
      </x:c>
      <x:c r="B11" s="2" t="n">
        <x:f>SUM(B4:B9)</x:f>
        <x:v>190</x:v>
      </x:c>
      <x:c r="C11" s="2"/>
      <x:c r="D11" s="2"/>
      <x:c r="E11" s="2"/>
      <x:c r="F11" s="2"/>
    </x:row>
    <x:row r="12" ht="23" customHeight="1">
      <x:c r="A12" s="2"/>
      <x:c r="B12" s="2"/>
      <x:c r="C12" s="2"/>
      <x:c r="D12" s="2"/>
      <x:c r="E12" s="2"/>
      <x:c r="F12" s="2"/>
    </x:row>
    <x:row r="13" ht="23" customHeight="1">
      <x:c r="A13" s="2"/>
      <x:c r="B13" s="2"/>
      <x:c r="C13" s="2"/>
      <x:c r="D13" s="2"/>
      <x:c r="E13" s="2"/>
      <x:c r="F13" s="2"/>
    </x:row>
    <x:row r="14" ht="23" customHeight="1">
      <x:c r="A14" s="2"/>
      <x:c r="B14" s="2"/>
      <x:c r="C14" s="2"/>
      <x:c r="D14" s="2"/>
      <x:c r="E14" s="2"/>
      <x:c r="F14" s="2"/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"/>
      <x:c r="B16" s="2"/>
      <x:c r="C16" s="2"/>
      <x:c r="D16" s="2"/>
      <x:c r="E16" s="2"/>
      <x:c r="F16" s="2"/>
    </x:row>
    <x:row r="17" ht="23" customHeight="1">
      <x:c r="A17" s="2"/>
      <x:c r="B17" s="2"/>
      <x:c r="C17" s="2"/>
      <x:c r="D17" s="2"/>
      <x:c r="E17" s="2"/>
      <x:c r="F17" s="2"/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  <x:row r="27" ht="23" customHeight="1">
      <x:c r="A27" s="2"/>
      <x:c r="B27" s="2"/>
      <x:c r="C27" s="2"/>
      <x:c r="D27" s="2"/>
      <x:c r="E27" s="2"/>
      <x:c r="F27" s="2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dd80dcce66c407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4" t="str">
        <x:v>Inventory operations September 2026</x:v>
      </x:c>
      <x:c r="B1" s="4"/>
      <x:c r="C1" s="4"/>
      <x:c r="D1" s="4"/>
      <x:c r="E1" s="4"/>
      <x:c r="F1" s="4"/>
    </x:row>
    <x:row r="2" ht="23" customHeight="1">
      <x:c r="A2" s="2"/>
      <x:c r="B2" s="2"/>
      <x:c r="C2" s="2"/>
      <x:c r="D2" s="2"/>
      <x:c r="E2" s="2"/>
      <x:c r="F2" s="2"/>
    </x:row>
    <x:row r="3" ht="23" customHeight="1">
      <x:c r="A3" s="12" t="str">
        <x:v>Product</x:v>
      </x:c>
      <x:c r="B3" s="12" t="str">
        <x:v>Received</x:v>
      </x:c>
      <x:c r="C3" s="12" t="str">
        <x:v>Dispatched</x:v>
      </x:c>
      <x:c r="D3" s="12" t="str">
        <x:v>Balance</x:v>
      </x:c>
      <x:c r="E3" s="12" t="str">
        <x:v>Unit cost</x:v>
      </x:c>
      <x:c r="F3" s="12" t="str">
        <x:v>Stock value</x:v>
      </x:c>
    </x:row>
    <x:row r="4" ht="23" customHeight="1">
      <x:c r="A4" s="9" t="str">
        <x:v>Solar panel kits</x:v>
      </x:c>
      <x:c r="B4" s="9" t="n">
        <x:v>120</x:v>
      </x:c>
      <x:c r="C4" s="9" t="n">
        <x:v>96</x:v>
      </x:c>
      <x:c r="D4" s="9" t="n">
        <x:f>B4-C4</x:f>
        <x:v>24</x:v>
      </x:c>
      <x:c r="E4" s="13" t="n">
        <x:v>12500</x:v>
      </x:c>
      <x:c r="F4" s="13" t="n">
        <x:f>D4*E4</x:f>
        <x:v>300000</x:v>
      </x:c>
    </x:row>
    <x:row r="5" ht="23" customHeight="1">
      <x:c r="A5" s="9" t="str">
        <x:v>Battery packs</x:v>
      </x:c>
      <x:c r="B5" s="9" t="n">
        <x:v>80</x:v>
      </x:c>
      <x:c r="C5" s="9" t="n">
        <x:v>65</x:v>
      </x:c>
      <x:c r="D5" s="9" t="n">
        <x:f>B5-C5</x:f>
        <x:v>15</x:v>
      </x:c>
      <x:c r="E5" s="13" t="n">
        <x:v>18000</x:v>
      </x:c>
      <x:c r="F5" s="13" t="n">
        <x:f>D5*E5</x:f>
        <x:v>270000</x:v>
      </x:c>
    </x:row>
    <x:row r="6" ht="23" customHeight="1">
      <x:c r="A6" s="9" t="str">
        <x:v>Controllers</x:v>
      </x:c>
      <x:c r="B6" s="9" t="n">
        <x:v>150</x:v>
      </x:c>
      <x:c r="C6" s="9" t="n">
        <x:v>130</x:v>
      </x:c>
      <x:c r="D6" s="9" t="n">
        <x:f>B6-C6</x:f>
        <x:v>20</x:v>
      </x:c>
      <x:c r="E6" s="13" t="n">
        <x:v>3500</x:v>
      </x:c>
      <x:c r="F6" s="13" t="n">
        <x:f>D6*E6</x:f>
        <x:v>70000</x:v>
      </x:c>
    </x:row>
    <x:row r="7" ht="23" customHeight="1">
      <x:c r="A7" s="9" t="str">
        <x:v>Brackets</x:v>
      </x:c>
      <x:c r="B7" s="9" t="n">
        <x:v>300</x:v>
      </x:c>
      <x:c r="C7" s="9" t="n">
        <x:v>240</x:v>
      </x:c>
      <x:c r="D7" s="9" t="n">
        <x:f>B7-C7</x:f>
        <x:v>60</x:v>
      </x:c>
      <x:c r="E7" s="13" t="n">
        <x:v>800</x:v>
      </x:c>
      <x:c r="F7" s="13" t="n">
        <x:f>D7*E7</x:f>
        <x:v>48000</x:v>
      </x:c>
    </x:row>
    <x:row r="8" ht="23" customHeight="1">
      <x:c r="A8" s="9" t="str">
        <x:v>Cable reels</x:v>
      </x:c>
      <x:c r="B8" s="9" t="n">
        <x:v>50</x:v>
      </x:c>
      <x:c r="C8" s="9" t="n">
        <x:v>42</x:v>
      </x:c>
      <x:c r="D8" s="9" t="n">
        <x:f>B8-C8</x:f>
        <x:v>8</x:v>
      </x:c>
      <x:c r="E8" s="13" t="n">
        <x:v>6000</x:v>
      </x:c>
      <x:c r="F8" s="13" t="n">
        <x:f>D8*E8</x:f>
        <x:v>48000</x:v>
      </x:c>
    </x:row>
    <x:row r="9" ht="23" customHeight="1">
      <x:c r="A9" s="2"/>
      <x:c r="B9" s="2"/>
      <x:c r="C9" s="2"/>
      <x:c r="D9" s="2"/>
      <x:c r="E9" s="6"/>
      <x:c r="F9" s="6"/>
    </x:row>
    <x:row r="10" ht="23" customHeight="1">
      <x:c r="A10" s="2" t="str">
        <x:v>Stock value total</x:v>
      </x:c>
      <x:c r="B10" s="2"/>
      <x:c r="C10" s="2"/>
      <x:c r="D10" s="2"/>
      <x:c r="E10" s="6"/>
      <x:c r="F10" s="6" t="n">
        <x:f>SUM(F4:F8)</x:f>
        <x:v>736000</x:v>
      </x:c>
    </x:row>
    <x:row r="11" ht="23" customHeight="1">
      <x:c r="A11" s="2"/>
      <x:c r="B11" s="2"/>
      <x:c r="C11" s="2"/>
      <x:c r="D11" s="2"/>
      <x:c r="E11" s="2"/>
      <x:c r="F11" s="2"/>
    </x:row>
    <x:row r="12" ht="23" customHeight="1">
      <x:c r="A12" s="7" t="str">
        <x:v>Counts verified by Ada Okafor on 19 September 2026.</x:v>
      </x:c>
      <x:c r="B12" s="7"/>
      <x:c r="C12" s="7"/>
      <x:c r="D12" s="7"/>
      <x:c r="E12" s="7"/>
      <x:c r="F12" s="7"/>
    </x:row>
    <x:row r="13" ht="23" customHeight="1">
      <x:c r="A13" s="2"/>
      <x:c r="B13" s="2"/>
      <x:c r="C13" s="2"/>
      <x:c r="D13" s="2"/>
      <x:c r="E13" s="2"/>
      <x:c r="F13" s="2"/>
    </x:row>
    <x:row r="14" ht="23" customHeight="1">
      <x:c r="A14" s="2"/>
      <x:c r="B14" s="2"/>
      <x:c r="C14" s="2"/>
      <x:c r="D14" s="2"/>
      <x:c r="E14" s="2"/>
      <x:c r="F14" s="2"/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"/>
      <x:c r="B16" s="2"/>
      <x:c r="C16" s="2"/>
      <x:c r="D16" s="2"/>
      <x:c r="E16" s="2"/>
      <x:c r="F16" s="2"/>
    </x:row>
    <x:row r="17" ht="23" customHeight="1">
      <x:c r="A17" s="2"/>
      <x:c r="B17" s="2"/>
      <x:c r="C17" s="2"/>
      <x:c r="D17" s="2"/>
      <x:c r="E17" s="2"/>
      <x:c r="F17" s="2"/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  <x:row r="27" ht="23" customHeight="1">
      <x:c r="A27" s="2"/>
      <x:c r="B27" s="2"/>
      <x:c r="C27" s="2"/>
      <x:c r="D27" s="2"/>
      <x:c r="E27" s="2"/>
      <x:c r="F27" s="2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</x:sheetData>
  <x:mergeCells>
    <x:mergeCell ref="A1:F1"/>
    <x:mergeCell ref="A12:F12"/>
  </x:mergeCells>
  <x:pageMargins left="0.7" right="0.7" top="0.75" bottom="0.75" header="0.3" footer="0.3"/>
  <x:drawing xmlns:r="http://schemas.openxmlformats.org/officeDocument/2006/relationships" r:id="R59751705141e4f6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3" customHeight="1">
      <x:c r="A1" s="4" t="str">
        <x:v>Summary operations September 2026</x:v>
      </x:c>
      <x:c r="B1" s="4"/>
      <x:c r="C1" s="4"/>
      <x:c r="D1" s="4"/>
      <x:c r="E1" s="4"/>
      <x:c r="F1" s="4"/>
    </x:row>
    <x:row r="2" ht="23" customHeight="1">
      <x:c r="A2" s="2"/>
      <x:c r="B2" s="2"/>
      <x:c r="C2" s="2"/>
      <x:c r="D2" s="2"/>
      <x:c r="E2" s="2"/>
      <x:c r="F2" s="2"/>
    </x:row>
    <x:row r="3" ht="23" customHeight="1">
      <x:c r="A3" s="12" t="str">
        <x:v>Metric</x:v>
      </x:c>
      <x:c r="B3" s="12" t="str">
        <x:v>Result</x:v>
      </x:c>
      <x:c r="C3" s="2"/>
      <x:c r="D3" s="2"/>
      <x:c r="E3" s="2"/>
      <x:c r="F3" s="2"/>
    </x:row>
    <x:row r="4" ht="23" customHeight="1">
      <x:c r="A4" s="9" t="str">
        <x:v>Completed trips</x:v>
      </x:c>
      <x:c r="B4" s="9" t="n">
        <x:f>Dispatch!B11</x:f>
        <x:v>190</x:v>
      </x:c>
      <x:c r="C4" s="2"/>
      <x:c r="D4" s="2"/>
      <x:c r="E4" s="2"/>
      <x:c r="F4" s="2"/>
    </x:row>
    <x:row r="5" ht="23" customHeight="1">
      <x:c r="A5" s="9" t="str">
        <x:v>On time deliveries</x:v>
      </x:c>
      <x:c r="B5" s="9" t="n">
        <x:f>SUM(Dispatch!C4:C9)</x:f>
        <x:v>179</x:v>
      </x:c>
      <x:c r="C5" s="2"/>
      <x:c r="D5" s="2"/>
      <x:c r="E5" s="2"/>
      <x:c r="F5" s="2"/>
    </x:row>
    <x:row r="6" ht="23" customHeight="1">
      <x:c r="A6" s="9" t="str">
        <x:v>Overall on time rate</x:v>
      </x:c>
      <x:c r="B6" s="10" t="n">
        <x:f>B5/B4</x:f>
        <x:v>0.9421052631578948</x:v>
      </x:c>
      <x:c r="C6" s="2"/>
      <x:c r="D6" s="2"/>
      <x:c r="E6" s="2"/>
      <x:c r="F6" s="2"/>
    </x:row>
    <x:row r="7" ht="23" customHeight="1">
      <x:c r="A7" s="9" t="str">
        <x:v>Stock value</x:v>
      </x:c>
      <x:c r="B7" s="13" t="n">
        <x:f>Inventory!F10</x:f>
        <x:v>736000</x:v>
      </x:c>
      <x:c r="C7" s="2"/>
      <x:c r="D7" s="2"/>
      <x:c r="E7" s="2"/>
      <x:c r="F7" s="2"/>
    </x:row>
    <x:row r="8" ht="23" customHeight="1">
      <x:c r="A8" s="2"/>
      <x:c r="B8" s="2"/>
      <x:c r="C8" s="2"/>
      <x:c r="D8" s="2"/>
      <x:c r="E8" s="2"/>
      <x:c r="F8" s="2"/>
    </x:row>
    <x:row r="9" ht="23" customHeight="1">
      <x:c r="A9" s="2"/>
      <x:c r="B9" s="2"/>
      <x:c r="C9" s="2"/>
      <x:c r="D9" s="2"/>
      <x:c r="E9" s="2"/>
      <x:c r="F9" s="2"/>
    </x:row>
    <x:row r="10" ht="23" customHeight="1">
      <x:c r="A10" s="8" t="str">
        <x:v>Weekly actions</x:v>
      </x:c>
      <x:c r="B10" s="2"/>
      <x:c r="C10" s="2"/>
      <x:c r="D10" s="2"/>
      <x:c r="E10" s="2"/>
      <x:c r="F10" s="2"/>
    </x:row>
    <x:row r="11" ht="23" customHeight="1">
      <x:c r="A11" s="2"/>
      <x:c r="B11" s="2"/>
      <x:c r="C11" s="2"/>
      <x:c r="D11" s="2"/>
      <x:c r="E11" s="2"/>
      <x:c r="F11" s="2"/>
    </x:row>
    <x:row r="12" ht="23" customHeight="1">
      <x:c r="A12" s="2" t="str">
        <x:v>1. Reconcile the closing stock balance.</x:v>
      </x:c>
      <x:c r="B12" s="2"/>
      <x:c r="C12" s="2"/>
      <x:c r="D12" s="2"/>
      <x:c r="E12" s="2"/>
      <x:c r="F12" s="2"/>
    </x:row>
    <x:row r="13" ht="23" customHeight="1">
      <x:c r="A13" s="2" t="str">
        <x:v>2. Review late arrivals with route leads.</x:v>
      </x:c>
      <x:c r="B13" s="2"/>
      <x:c r="C13" s="2"/>
      <x:c r="D13" s="2"/>
      <x:c r="E13" s="2"/>
      <x:c r="F13" s="2"/>
    </x:row>
    <x:row r="14" ht="23" customHeight="1">
      <x:c r="A14" s="2" t="str">
        <x:v>3. Archive signed delivery receipts.</x:v>
      </x:c>
      <x:c r="B14" s="2"/>
      <x:c r="C14" s="2"/>
      <x:c r="D14" s="2"/>
      <x:c r="E14" s="2"/>
      <x:c r="F14" s="2"/>
    </x:row>
    <x:row r="15" ht="23" customHeight="1">
      <x:c r="A15" s="2"/>
      <x:c r="B15" s="2"/>
      <x:c r="C15" s="2"/>
      <x:c r="D15" s="2"/>
      <x:c r="E15" s="2"/>
      <x:c r="F15" s="2"/>
    </x:row>
    <x:row r="16" ht="23" customHeight="1">
      <x:c r="A16" s="2"/>
      <x:c r="B16" s="2"/>
      <x:c r="C16" s="2"/>
      <x:c r="D16" s="2"/>
      <x:c r="E16" s="2"/>
      <x:c r="F16" s="2"/>
    </x:row>
    <x:row r="17" ht="23" customHeight="1">
      <x:c r="A17" s="2" t="str">
        <x:v>Operations handbook</x:v>
      </x:c>
      <x:c r="B17" s="2" t="e">
        <x:f>HYPERLINK("https://example.com/operations","Open handbook")</x:f>
        <x:v>HYPERLINK is not implemented. linkLocation=https://example.com/operations, friendlyName=Open handbook</x:v>
      </x:c>
      <x:c r="C17" s="2"/>
      <x:c r="D17" s="2"/>
      <x:c r="E17" s="2"/>
      <x:c r="F17" s="2"/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  <x:row r="27" ht="23" customHeight="1">
      <x:c r="A27" s="2"/>
      <x:c r="B27" s="2"/>
      <x:c r="C27" s="2"/>
      <x:c r="D27" s="2"/>
      <x:c r="E27" s="2"/>
      <x:c r="F27" s="2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</x:sheetData>
  <x:mergeCells>
    <x:mergeCell ref="A1:F1"/>
    <x:mergeCell ref="A10:F10"/>
    <x:mergeCell ref="A12:F12"/>
    <x:mergeCell ref="A13:F13"/>
    <x:mergeCell ref="A14:F14"/>
  </x:mergeCells>
  <x:pageMargins left="0.7" right="0.7" top="0.75" bottom="0.75" header="0.3" footer="0.3"/>
</x:worksheet>
</file>